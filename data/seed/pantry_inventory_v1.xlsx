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capture" sheetId="1" state="visible" r:id="rId3"/>
    <sheet name="normalized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<sst xmlns="http://schemas.openxmlformats.org/spreadsheetml/2006/main" count="185" uniqueCount="99">
  <si>
    <t xml:space="preserve">RAW CAPTURE - transcribe exactly what was written. Never edit these rows to 'fix' them.</t>
  </si>
  <si>
    <t xml:space="preserve">raw_id</t>
  </si>
  <si>
    <t xml:space="preserve">verbatim_line</t>
  </si>
  <si>
    <t xml:space="preserve">captured_on</t>
  </si>
  <si>
    <t xml:space="preserve">source</t>
  </si>
  <si>
    <t xml:space="preserve">2 and half bags of Jasmine Rice (5 lb) (2.27 kg)</t>
  </si>
  <si>
    <t xml:space="preserve">2026-08-02</t>
  </si>
  <si>
    <t xml:space="preserve">handwritten notebook</t>
  </si>
  <si>
    <t xml:space="preserve">One family size, cookies and creme Cheerios - 425g</t>
  </si>
  <si>
    <t xml:space="preserve">Two Indomie - 5 packs per bag</t>
  </si>
  <si>
    <t xml:space="preserve">One bottle Clover honey = 340g - weight</t>
  </si>
  <si>
    <t xml:space="preserve">10 Essential Everyday Tomato Paste - 340g</t>
  </si>
  <si>
    <t xml:space="preserve">One Lipton box</t>
  </si>
  <si>
    <t xml:space="preserve">One bag of basmati rice</t>
  </si>
  <si>
    <t xml:space="preserve">1 whey protein bottle (899g)</t>
  </si>
  <si>
    <t xml:space="preserve">One box of Crunchy Oats'n honey - 49 pouches per box</t>
  </si>
  <si>
    <t xml:space="preserve">One double chocolate, Hot Cocoa mix - 435g</t>
  </si>
  <si>
    <t xml:space="preserve">Ten chicken wing pieces</t>
  </si>
  <si>
    <t xml:space="preserve">NORMALIZED - one row per distinct product. Yellow cells are yours to fill in. Peach rows need a decision before they can be trusted.</t>
  </si>
  <si>
    <t xml:space="preserve">canonical_name</t>
  </si>
  <si>
    <t xml:space="preserve">brand</t>
  </si>
  <si>
    <t xml:space="preserve">container_type</t>
  </si>
  <si>
    <t xml:space="preserve">containers_qty</t>
  </si>
  <si>
    <t xml:space="preserve">units_per_container</t>
  </si>
  <si>
    <t xml:space="preserve">size_per_unit_g_or_ml</t>
  </si>
  <si>
    <t xml:space="preserve">base_unit</t>
  </si>
  <si>
    <t xml:space="preserve">qty_in_base_unit</t>
  </si>
  <si>
    <t xml:space="preserve">is_countable</t>
  </si>
  <si>
    <t xml:space="preserve">is_opened</t>
  </si>
  <si>
    <t xml:space="preserve">expires_on</t>
  </si>
  <si>
    <t xml:space="preserve">confidence</t>
  </si>
  <si>
    <t xml:space="preserve">notes</t>
  </si>
  <si>
    <t xml:space="preserve">Jasmine rice</t>
  </si>
  <si>
    <t xml:space="preserve">bag</t>
  </si>
  <si>
    <t xml:space="preserve">g</t>
  </si>
  <si>
    <t xml:space="preserve">no</t>
  </si>
  <si>
    <t xml:space="preserve">yes</t>
  </si>
  <si>
    <t xml:space="preserve">high</t>
  </si>
  <si>
    <t xml:space="preserve">5 lb = 2270 g. Half a bag is an estimate, not a measurement - decide how you record partial containers.</t>
  </si>
  <si>
    <t xml:space="preserve">Cheerios, cookies and creme</t>
  </si>
  <si>
    <t xml:space="preserve">Cheerios</t>
  </si>
  <si>
    <t xml:space="preserve">box</t>
  </si>
  <si>
    <t xml:space="preserve">medium</t>
  </si>
  <si>
    <t xml:space="preserve">Verify 425 g against the box. Family size varies by region.</t>
  </si>
  <si>
    <t xml:space="preserve">Indomie instant noodles</t>
  </si>
  <si>
    <t xml:space="preserve">Indomie</t>
  </si>
  <si>
    <t xml:space="preserve">count</t>
  </si>
  <si>
    <t xml:space="preserve">2 bags x 5 packs = 10 packs. Pack weight (~85 g) not recorded - needed if a recipe wants grams.</t>
  </si>
  <si>
    <t xml:space="preserve">Honey</t>
  </si>
  <si>
    <t xml:space="preserve">Clover</t>
  </si>
  <si>
    <t xml:space="preserve">bottle</t>
  </si>
  <si>
    <t xml:space="preserve">Recipes ask for cups. Needs a density row: honey is ~1.42 g/ml.</t>
  </si>
  <si>
    <t xml:space="preserve">Tomato paste</t>
  </si>
  <si>
    <t xml:space="preserve">Essential Everyday</t>
  </si>
  <si>
    <t xml:space="preserve">can</t>
  </si>
  <si>
    <t xml:space="preserve">low</t>
  </si>
  <si>
    <t xml:space="preserve">Verify size. Essential Everyday tomato paste is commonly 170 g (6 oz), not 340 g. If wrong, total is off by 1700 g.</t>
  </si>
  <si>
    <t xml:space="preserve">UNRESOLVED - Lipton box</t>
  </si>
  <si>
    <t xml:space="preserve">Lipton</t>
  </si>
  <si>
    <t xml:space="preserve">Lipton tea bags? Soup mix? Recipe Secrets? Cannot resolve the product, the unit, or the quantity. This is your worst-case row - design for it.</t>
  </si>
  <si>
    <t xml:space="preserve">Basmati rice</t>
  </si>
  <si>
    <t xml:space="preserve">Bag size never recorded. Also: is this substitutable for jasmine rice when a recipe says 'rice'?</t>
  </si>
  <si>
    <t xml:space="preserve">Whey protein powder</t>
  </si>
  <si>
    <t xml:space="preserve">Verify 899 g. Common tub sizes are 907 g (2 lb).</t>
  </si>
  <si>
    <t xml:space="preserve">Crunchy Oats 'n Honey bars</t>
  </si>
  <si>
    <t xml:space="preserve">49 pouches. Per-pouch weight (~42 g) not recorded. Nested packaging: box &gt; pouch &gt; bar.</t>
  </si>
  <si>
    <t xml:space="preserve">Hot cocoa mix, double chocolate</t>
  </si>
  <si>
    <t xml:space="preserve">Powder measured by scoop in practice. Scoop-to-gram is another density case.</t>
  </si>
  <si>
    <t xml:space="preserve">Chicken wing pieces</t>
  </si>
  <si>
    <t xml:space="preserve">loose</t>
  </si>
  <si>
    <t xml:space="preserve">Only perishable on the entire list. Frozen or fresh changes the expiry rule completely.</t>
  </si>
  <si>
    <t xml:space="preserve">Rows needing a decision before v1:</t>
  </si>
  <si>
    <t xml:space="preserve">Items with a recorded expiry date:</t>
  </si>
  <si>
    <t xml:space="preserve">COLUMN DEFINITIONS</t>
  </si>
  <si>
    <t xml:space="preserve">column</t>
  </si>
  <si>
    <t xml:space="preserve">what goes in it</t>
  </si>
  <si>
    <t xml:space="preserve">Points back to the row in raw_capture. Never lose this link - it is your audit trail.</t>
  </si>
  <si>
    <t xml:space="preserve">The name YOU choose, not the one on the packaging. 'Honey', not 'Clover Pure Clover Honey 12oz'.</t>
  </si>
  <si>
    <t xml:space="preserve">Kept separate from the name so two brands of the same thing can match a recipe.</t>
  </si>
  <si>
    <t xml:space="preserve">bag / box / bottle / can / loose. How it physically sits in your kitchen.</t>
  </si>
  <si>
    <t xml:space="preserve">How many containers. Fractions allowed for partial ones (2.5 bags).</t>
  </si>
  <si>
    <t xml:space="preserve">For nested packaging: 5 packs per bag, 49 pouches per box. Use 1 when there is no nesting.</t>
  </si>
  <si>
    <t xml:space="preserve">Mass or volume of ONE unit. Blank means unknown - the formula will say UNKNOWN rather than guess.</t>
  </si>
  <si>
    <t xml:space="preserve">g, ml, or count. Exactly one per product, chosen once, never mixed.</t>
  </si>
  <si>
    <t xml:space="preserve">Computed, never typed. This is the only quantity your future code should read.</t>
  </si>
  <si>
    <t xml:space="preserve">Whether 'one of these' is a meaningful thing to ask for. Eggs yes, flour no.</t>
  </si>
  <si>
    <t xml:space="preserve">Opened changes the expiry rule for most foods. Cheap to record, expensive to add later.</t>
  </si>
  <si>
    <t xml:space="preserve">Yellow because almost none of yours are filled in. That absence is a finding, not a failure.</t>
  </si>
  <si>
    <t xml:space="preserve">high / medium / low. Low means you guessed, and the row needs a decision before you trust it.</t>
  </si>
  <si>
    <t xml:space="preserve">Where the real thinking lives. Every question here becomes a validation rule or a decision record.</t>
  </si>
  <si>
    <t xml:space="preserve">EXAMPLE ROW - the format to copy when you add items</t>
  </si>
  <si>
    <t xml:space="preserve">Olive oil</t>
  </si>
  <si>
    <t xml:space="preserve">Bertolli</t>
  </si>
  <si>
    <t xml:space="preserve">ml</t>
  </si>
  <si>
    <t xml:space="preserve">2027-03-01</t>
  </si>
  <si>
    <t xml:space="preserve">500 ml bottle, roughly two-thirds full - containers_qty should become 0.65 once measured.</t>
  </si>
  <si>
    <t xml:space="preserve">COLOUR KEY</t>
  </si>
  <si>
    <t xml:space="preserve">You need to fill this cell in.</t>
  </si>
  <si>
    <t xml:space="preserve">Low confidence - the row needs a decision before you build on it.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</si>
</sst>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n">
        <v>1</v>
      </c>
      <c r="B4" s="3" t="s">
        <v>5</v>
      </c>
      <c r="C4" s="3" t="s">
        <v>6</v>
      </c>
      <c r="D4" s="3" t="s">
        <v>7</v>
      </c>
    </row>
    <row r="5" customFormat="false" ht="15" hidden="false" customHeight="false" outlineLevel="0" collapsed="false">
      <c r="A5" s="3" t="n">
        <v>2</v>
      </c>
      <c r="B5" s="3" t="s">
        <v>8</v>
      </c>
      <c r="C5" s="3" t="s">
        <v>6</v>
      </c>
      <c r="D5" s="3" t="s">
        <v>7</v>
      </c>
    </row>
    <row r="6" customFormat="false" ht="15" hidden="false" customHeight="false" outlineLevel="0" collapsed="false">
      <c r="A6" s="3" t="n">
        <v>3</v>
      </c>
      <c r="B6" s="3" t="s">
        <v>9</v>
      </c>
      <c r="C6" s="3" t="s">
        <v>6</v>
      </c>
      <c r="D6" s="3" t="s">
        <v>7</v>
      </c>
    </row>
    <row r="7" customFormat="false" ht="15" hidden="false" customHeight="false" outlineLevel="0" collapsed="false">
      <c r="A7" s="3" t="n">
        <v>4</v>
      </c>
      <c r="B7" s="3" t="s">
        <v>10</v>
      </c>
      <c r="C7" s="3" t="s">
        <v>6</v>
      </c>
      <c r="D7" s="3" t="s">
        <v>7</v>
      </c>
    </row>
    <row r="8" customFormat="false" ht="15" hidden="false" customHeight="false" outlineLevel="0" collapsed="false">
      <c r="A8" s="3" t="n">
        <v>5</v>
      </c>
      <c r="B8" s="3" t="s">
        <v>11</v>
      </c>
      <c r="C8" s="3" t="s">
        <v>6</v>
      </c>
      <c r="D8" s="3" t="s">
        <v>7</v>
      </c>
    </row>
    <row r="9" customFormat="false" ht="15" hidden="false" customHeight="false" outlineLevel="0" collapsed="false">
      <c r="A9" s="3" t="n">
        <v>6</v>
      </c>
      <c r="B9" s="3" t="s">
        <v>12</v>
      </c>
      <c r="C9" s="3" t="s">
        <v>6</v>
      </c>
      <c r="D9" s="3" t="s">
        <v>7</v>
      </c>
    </row>
    <row r="10" customFormat="false" ht="15" hidden="false" customHeight="false" outlineLevel="0" collapsed="false">
      <c r="A10" s="3" t="n">
        <v>7</v>
      </c>
      <c r="B10" s="3" t="s">
        <v>13</v>
      </c>
      <c r="C10" s="3" t="s">
        <v>6</v>
      </c>
      <c r="D10" s="3" t="s">
        <v>7</v>
      </c>
    </row>
    <row r="11" customFormat="false" ht="15" hidden="false" customHeight="false" outlineLevel="0" collapsed="false">
      <c r="A11" s="3" t="n">
        <v>8</v>
      </c>
      <c r="B11" s="3" t="s">
        <v>14</v>
      </c>
      <c r="C11" s="3" t="s">
        <v>6</v>
      </c>
      <c r="D11" s="3" t="s">
        <v>7</v>
      </c>
    </row>
    <row r="12" customFormat="false" ht="15" hidden="false" customHeight="false" outlineLevel="0" collapsed="false">
      <c r="A12" s="3" t="n">
        <v>9</v>
      </c>
      <c r="B12" s="3" t="s">
        <v>15</v>
      </c>
      <c r="C12" s="3" t="s">
        <v>6</v>
      </c>
      <c r="D12" s="3" t="s">
        <v>7</v>
      </c>
    </row>
    <row r="13" customFormat="false" ht="15" hidden="false" customHeight="false" outlineLevel="0" collapsed="false">
      <c r="A13" s="3" t="n">
        <v>10</v>
      </c>
      <c r="B13" s="3" t="s">
        <v>16</v>
      </c>
      <c r="C13" s="3" t="s">
        <v>6</v>
      </c>
      <c r="D13" s="3" t="s">
        <v>7</v>
      </c>
    </row>
    <row r="14" customFormat="false" ht="15" hidden="false" customHeight="false" outlineLevel="0" collapsed="false">
      <c r="A14" s="3" t="n">
        <v>11</v>
      </c>
      <c r="B14" s="3" t="s">
        <v>17</v>
      </c>
      <c r="C14" s="3" t="s">
        <v>6</v>
      </c>
      <c r="D14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62"/>
  </cols>
  <sheetData>
    <row r="1" customFormat="false" ht="15" hidden="false" customHeight="false" outlineLevel="0" collapsed="false">
      <c r="A1" s="1" t="s">
        <v>18</v>
      </c>
    </row>
    <row r="3" customFormat="false" ht="30" hidden="false" customHeight="true" outlineLevel="0" collapsed="false">
      <c r="A3" s="2" t="s">
        <v>1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</row>
    <row r="4" customFormat="false" ht="42" hidden="false" customHeight="true" outlineLevel="0" collapsed="false">
      <c r="A4" s="3" t="n">
        <v>1</v>
      </c>
      <c r="B4" s="3" t="s">
        <v>32</v>
      </c>
      <c r="C4" s="3"/>
      <c r="D4" s="3" t="s">
        <v>33</v>
      </c>
      <c r="E4" s="3" t="n">
        <v>2.5</v>
      </c>
      <c r="F4" s="3" t="n">
        <v>1</v>
      </c>
      <c r="G4" s="3" t="n">
        <v>2270</v>
      </c>
      <c r="H4" s="3" t="s">
        <v>34</v>
      </c>
      <c r="I4" s="3" t="n">
        <f aca="false">IF(OR($E4="",$F4=""),"UNKNOWN",IF($H4="count",$E4*$F4,IF($G4="","UNKNOWN",$E4*$F4*$G4)))</f>
        <v>5675</v>
      </c>
      <c r="J4" s="3" t="s">
        <v>35</v>
      </c>
      <c r="K4" s="3" t="s">
        <v>36</v>
      </c>
      <c r="L4" s="4"/>
      <c r="M4" s="3" t="s">
        <v>37</v>
      </c>
      <c r="N4" s="3" t="s">
        <v>38</v>
      </c>
    </row>
    <row r="5" customFormat="false" ht="42" hidden="false" customHeight="true" outlineLevel="0" collapsed="false">
      <c r="A5" s="3" t="n">
        <v>2</v>
      </c>
      <c r="B5" s="3" t="s">
        <v>39</v>
      </c>
      <c r="C5" s="3" t="s">
        <v>40</v>
      </c>
      <c r="D5" s="3" t="s">
        <v>41</v>
      </c>
      <c r="E5" s="3" t="n">
        <v>1</v>
      </c>
      <c r="F5" s="3" t="n">
        <v>1</v>
      </c>
      <c r="G5" s="3" t="n">
        <v>425</v>
      </c>
      <c r="H5" s="3" t="s">
        <v>34</v>
      </c>
      <c r="I5" s="3" t="n">
        <f aca="false">IF(OR($E5="",$F5=""),"UNKNOWN",IF($H5="count",$E5*$F5,IF($G5="","UNKNOWN",$E5*$F5*$G5)))</f>
        <v>425</v>
      </c>
      <c r="J5" s="3" t="s">
        <v>35</v>
      </c>
      <c r="K5" s="4"/>
      <c r="L5" s="4"/>
      <c r="M5" s="3" t="s">
        <v>42</v>
      </c>
      <c r="N5" s="3" t="s">
        <v>43</v>
      </c>
    </row>
    <row r="6" customFormat="false" ht="42" hidden="false" customHeight="true" outlineLevel="0" collapsed="false">
      <c r="A6" s="3" t="n">
        <v>3</v>
      </c>
      <c r="B6" s="3" t="s">
        <v>44</v>
      </c>
      <c r="C6" s="3" t="s">
        <v>45</v>
      </c>
      <c r="D6" s="3" t="s">
        <v>33</v>
      </c>
      <c r="E6" s="3" t="n">
        <v>2</v>
      </c>
      <c r="F6" s="3" t="n">
        <v>5</v>
      </c>
      <c r="G6" s="4"/>
      <c r="H6" s="3" t="s">
        <v>46</v>
      </c>
      <c r="I6" s="3" t="n">
        <f aca="false">IF(OR($E6="",$F6=""),"UNKNOWN",IF($H6="count",$E6*$F6,IF($G6="","UNKNOWN",$E6*$F6*$G6)))</f>
        <v>10</v>
      </c>
      <c r="J6" s="3" t="s">
        <v>36</v>
      </c>
      <c r="K6" s="3" t="s">
        <v>35</v>
      </c>
      <c r="L6" s="4"/>
      <c r="M6" s="3" t="s">
        <v>37</v>
      </c>
      <c r="N6" s="3" t="s">
        <v>47</v>
      </c>
    </row>
    <row r="7" customFormat="false" ht="42" hidden="false" customHeight="true" outlineLevel="0" collapsed="false">
      <c r="A7" s="3" t="n">
        <v>4</v>
      </c>
      <c r="B7" s="3" t="s">
        <v>48</v>
      </c>
      <c r="C7" s="3" t="s">
        <v>49</v>
      </c>
      <c r="D7" s="3" t="s">
        <v>50</v>
      </c>
      <c r="E7" s="3" t="n">
        <v>1</v>
      </c>
      <c r="F7" s="3" t="n">
        <v>1</v>
      </c>
      <c r="G7" s="3" t="n">
        <v>340</v>
      </c>
      <c r="H7" s="3" t="s">
        <v>34</v>
      </c>
      <c r="I7" s="3" t="n">
        <f aca="false">IF(OR($E7="",$F7=""),"UNKNOWN",IF($H7="count",$E7*$F7,IF($G7="","UNKNOWN",$E7*$F7*$G7)))</f>
        <v>340</v>
      </c>
      <c r="J7" s="3" t="s">
        <v>35</v>
      </c>
      <c r="K7" s="4"/>
      <c r="L7" s="4"/>
      <c r="M7" s="3" t="s">
        <v>37</v>
      </c>
      <c r="N7" s="3" t="s">
        <v>51</v>
      </c>
    </row>
    <row r="8" customFormat="false" ht="42" hidden="false" customHeight="true" outlineLevel="0" collapsed="false">
      <c r="A8" s="5" t="n">
        <v>5</v>
      </c>
      <c r="B8" s="5" t="s">
        <v>52</v>
      </c>
      <c r="C8" s="5" t="s">
        <v>53</v>
      </c>
      <c r="D8" s="5" t="s">
        <v>54</v>
      </c>
      <c r="E8" s="5" t="n">
        <v>10</v>
      </c>
      <c r="F8" s="5" t="n">
        <v>1</v>
      </c>
      <c r="G8" s="5" t="n">
        <v>340</v>
      </c>
      <c r="H8" s="5" t="s">
        <v>34</v>
      </c>
      <c r="I8" s="5" t="n">
        <f aca="false">IF(OR($E8="",$F8=""),"UNKNOWN",IF($H8="count",$E8*$F8,IF($G8="","UNKNOWN",$E8*$F8*$G8)))</f>
        <v>3400</v>
      </c>
      <c r="J8" s="5" t="s">
        <v>36</v>
      </c>
      <c r="K8" s="5" t="s">
        <v>35</v>
      </c>
      <c r="L8" s="4"/>
      <c r="M8" s="5" t="s">
        <v>55</v>
      </c>
      <c r="N8" s="5" t="s">
        <v>56</v>
      </c>
    </row>
    <row r="9" customFormat="false" ht="42" hidden="false" customHeight="true" outlineLevel="0" collapsed="false">
      <c r="A9" s="5" t="n">
        <v>6</v>
      </c>
      <c r="B9" s="5" t="s">
        <v>57</v>
      </c>
      <c r="C9" s="5" t="s">
        <v>58</v>
      </c>
      <c r="D9" s="5" t="s">
        <v>41</v>
      </c>
      <c r="E9" s="5" t="n">
        <v>1</v>
      </c>
      <c r="F9" s="5"/>
      <c r="G9" s="5"/>
      <c r="H9" s="5"/>
      <c r="I9" s="5" t="str">
        <f aca="false">IF(OR($E9="",$F9=""),"UNKNOWN",IF($H9="count",$E9*$F9,IF($G9="","UNKNOWN",$E9*$F9*$G9)))</f>
        <v>UNKNOWN</v>
      </c>
      <c r="J9" s="5"/>
      <c r="K9" s="5"/>
      <c r="L9" s="4"/>
      <c r="M9" s="5" t="s">
        <v>55</v>
      </c>
      <c r="N9" s="5" t="s">
        <v>59</v>
      </c>
    </row>
    <row r="10" customFormat="false" ht="42" hidden="false" customHeight="true" outlineLevel="0" collapsed="false">
      <c r="A10" s="5" t="n">
        <v>7</v>
      </c>
      <c r="B10" s="5" t="s">
        <v>60</v>
      </c>
      <c r="C10" s="5"/>
      <c r="D10" s="5" t="s">
        <v>33</v>
      </c>
      <c r="E10" s="5" t="n">
        <v>1</v>
      </c>
      <c r="F10" s="5" t="n">
        <v>1</v>
      </c>
      <c r="G10" s="5"/>
      <c r="H10" s="5" t="s">
        <v>34</v>
      </c>
      <c r="I10" s="5" t="str">
        <f aca="false">IF(OR($E10="",$F10=""),"UNKNOWN",IF($H10="count",$E10*$F10,IF($G10="","UNKNOWN",$E10*$F10*$G10)))</f>
        <v>UNKNOWN</v>
      </c>
      <c r="J10" s="5" t="s">
        <v>35</v>
      </c>
      <c r="K10" s="5"/>
      <c r="L10" s="4"/>
      <c r="M10" s="5" t="s">
        <v>55</v>
      </c>
      <c r="N10" s="5" t="s">
        <v>61</v>
      </c>
    </row>
    <row r="11" customFormat="false" ht="42" hidden="false" customHeight="true" outlineLevel="0" collapsed="false">
      <c r="A11" s="3" t="n">
        <v>8</v>
      </c>
      <c r="B11" s="3" t="s">
        <v>62</v>
      </c>
      <c r="C11" s="3"/>
      <c r="D11" s="3" t="s">
        <v>50</v>
      </c>
      <c r="E11" s="3" t="n">
        <v>1</v>
      </c>
      <c r="F11" s="3" t="n">
        <v>1</v>
      </c>
      <c r="G11" s="3" t="n">
        <v>899</v>
      </c>
      <c r="H11" s="3" t="s">
        <v>34</v>
      </c>
      <c r="I11" s="3" t="n">
        <f aca="false">IF(OR($E11="",$F11=""),"UNKNOWN",IF($H11="count",$E11*$F11,IF($G11="","UNKNOWN",$E11*$F11*$G11)))</f>
        <v>899</v>
      </c>
      <c r="J11" s="3" t="s">
        <v>35</v>
      </c>
      <c r="K11" s="4"/>
      <c r="L11" s="4"/>
      <c r="M11" s="3" t="s">
        <v>42</v>
      </c>
      <c r="N11" s="3" t="s">
        <v>63</v>
      </c>
    </row>
    <row r="12" customFormat="false" ht="42" hidden="false" customHeight="true" outlineLevel="0" collapsed="false">
      <c r="A12" s="3" t="n">
        <v>9</v>
      </c>
      <c r="B12" s="3" t="s">
        <v>64</v>
      </c>
      <c r="C12" s="3"/>
      <c r="D12" s="3" t="s">
        <v>41</v>
      </c>
      <c r="E12" s="3" t="n">
        <v>1</v>
      </c>
      <c r="F12" s="3" t="n">
        <v>49</v>
      </c>
      <c r="G12" s="4"/>
      <c r="H12" s="3" t="s">
        <v>46</v>
      </c>
      <c r="I12" s="3" t="n">
        <f aca="false">IF(OR($E12="",$F12=""),"UNKNOWN",IF($H12="count",$E12*$F12,IF($G12="","UNKNOWN",$E12*$F12*$G12)))</f>
        <v>49</v>
      </c>
      <c r="J12" s="3" t="s">
        <v>36</v>
      </c>
      <c r="K12" s="4"/>
      <c r="L12" s="4"/>
      <c r="M12" s="3" t="s">
        <v>42</v>
      </c>
      <c r="N12" s="3" t="s">
        <v>65</v>
      </c>
    </row>
    <row r="13" customFormat="false" ht="42" hidden="false" customHeight="true" outlineLevel="0" collapsed="false">
      <c r="A13" s="3" t="n">
        <v>10</v>
      </c>
      <c r="B13" s="3" t="s">
        <v>66</v>
      </c>
      <c r="C13" s="3"/>
      <c r="D13" s="3" t="s">
        <v>41</v>
      </c>
      <c r="E13" s="3" t="n">
        <v>1</v>
      </c>
      <c r="F13" s="3" t="n">
        <v>1</v>
      </c>
      <c r="G13" s="3" t="n">
        <v>435</v>
      </c>
      <c r="H13" s="3" t="s">
        <v>34</v>
      </c>
      <c r="I13" s="3" t="n">
        <f aca="false">IF(OR($E13="",$F13=""),"UNKNOWN",IF($H13="count",$E13*$F13,IF($G13="","UNKNOWN",$E13*$F13*$G13)))</f>
        <v>435</v>
      </c>
      <c r="J13" s="3" t="s">
        <v>35</v>
      </c>
      <c r="K13" s="4"/>
      <c r="L13" s="4"/>
      <c r="M13" s="3" t="s">
        <v>37</v>
      </c>
      <c r="N13" s="3" t="s">
        <v>67</v>
      </c>
    </row>
    <row r="14" customFormat="false" ht="42" hidden="false" customHeight="true" outlineLevel="0" collapsed="false">
      <c r="A14" s="3" t="n">
        <v>11</v>
      </c>
      <c r="B14" s="3" t="s">
        <v>68</v>
      </c>
      <c r="C14" s="3"/>
      <c r="D14" s="3" t="s">
        <v>69</v>
      </c>
      <c r="E14" s="3" t="n">
        <v>10</v>
      </c>
      <c r="F14" s="3" t="n">
        <v>1</v>
      </c>
      <c r="G14" s="4"/>
      <c r="H14" s="3" t="s">
        <v>46</v>
      </c>
      <c r="I14" s="3" t="n">
        <f aca="false">IF(OR($E14="",$F14=""),"UNKNOWN",IF($H14="count",$E14*$F14,IF($G14="","UNKNOWN",$E14*$F14*$G14)))</f>
        <v>10</v>
      </c>
      <c r="J14" s="3" t="s">
        <v>36</v>
      </c>
      <c r="K14" s="4"/>
      <c r="L14" s="4"/>
      <c r="M14" s="3" t="s">
        <v>42</v>
      </c>
      <c r="N14" s="3" t="s">
        <v>70</v>
      </c>
    </row>
    <row r="16" customFormat="false" ht="15" hidden="false" customHeight="false" outlineLevel="0" collapsed="false">
      <c r="B16" s="6" t="s">
        <v>71</v>
      </c>
      <c r="I16" s="6" t="n">
        <f aca="false">COUNTIF($M$4:$M$14,"low")</f>
        <v>3</v>
      </c>
    </row>
    <row r="17" customFormat="false" ht="15" hidden="false" customHeight="false" outlineLevel="0" collapsed="false">
      <c r="B17" s="6" t="s">
        <v>72</v>
      </c>
      <c r="I17" s="6" t="n">
        <f aca="false">COUNTA($L$4:$L$14)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8"/>
    <col collapsed="false" customWidth="true" hidden="false" outlineLevel="0" max="14" min="3" style="0" width="13"/>
  </cols>
  <sheetData>
    <row r="1" customFormat="false" ht="15" hidden="false" customHeight="false" outlineLevel="0" collapsed="false">
      <c r="A1" s="7" t="s">
        <v>73</v>
      </c>
    </row>
    <row r="3" customFormat="false" ht="30" hidden="false" customHeight="true" outlineLevel="0" collapsed="false">
      <c r="A3" s="2" t="s">
        <v>74</v>
      </c>
      <c r="B3" s="2" t="s">
        <v>75</v>
      </c>
    </row>
    <row r="4" customFormat="false" ht="27.75" hidden="false" customHeight="true" outlineLevel="0" collapsed="false">
      <c r="A4" s="8" t="s">
        <v>1</v>
      </c>
      <c r="B4" s="3" t="s">
        <v>76</v>
      </c>
    </row>
    <row r="5" customFormat="false" ht="27.75" hidden="false" customHeight="true" outlineLevel="0" collapsed="false">
      <c r="A5" s="8" t="s">
        <v>19</v>
      </c>
      <c r="B5" s="3" t="s">
        <v>77</v>
      </c>
    </row>
    <row r="6" customFormat="false" ht="27.75" hidden="false" customHeight="true" outlineLevel="0" collapsed="false">
      <c r="A6" s="8" t="s">
        <v>20</v>
      </c>
      <c r="B6" s="3" t="s">
        <v>78</v>
      </c>
    </row>
    <row r="7" customFormat="false" ht="27.75" hidden="false" customHeight="true" outlineLevel="0" collapsed="false">
      <c r="A7" s="8" t="s">
        <v>21</v>
      </c>
      <c r="B7" s="3" t="s">
        <v>79</v>
      </c>
    </row>
    <row r="8" customFormat="false" ht="27.75" hidden="false" customHeight="true" outlineLevel="0" collapsed="false">
      <c r="A8" s="8" t="s">
        <v>22</v>
      </c>
      <c r="B8" s="3" t="s">
        <v>80</v>
      </c>
    </row>
    <row r="9" customFormat="false" ht="27.75" hidden="false" customHeight="true" outlineLevel="0" collapsed="false">
      <c r="A9" s="8" t="s">
        <v>23</v>
      </c>
      <c r="B9" s="3" t="s">
        <v>81</v>
      </c>
    </row>
    <row r="10" customFormat="false" ht="27.75" hidden="false" customHeight="true" outlineLevel="0" collapsed="false">
      <c r="A10" s="8" t="s">
        <v>24</v>
      </c>
      <c r="B10" s="3" t="s">
        <v>82</v>
      </c>
    </row>
    <row r="11" customFormat="false" ht="27.75" hidden="false" customHeight="true" outlineLevel="0" collapsed="false">
      <c r="A11" s="8" t="s">
        <v>25</v>
      </c>
      <c r="B11" s="3" t="s">
        <v>83</v>
      </c>
    </row>
    <row r="12" customFormat="false" ht="27.75" hidden="false" customHeight="true" outlineLevel="0" collapsed="false">
      <c r="A12" s="8" t="s">
        <v>26</v>
      </c>
      <c r="B12" s="3" t="s">
        <v>84</v>
      </c>
    </row>
    <row r="13" customFormat="false" ht="27.75" hidden="false" customHeight="true" outlineLevel="0" collapsed="false">
      <c r="A13" s="8" t="s">
        <v>27</v>
      </c>
      <c r="B13" s="3" t="s">
        <v>85</v>
      </c>
    </row>
    <row r="14" customFormat="false" ht="27.75" hidden="false" customHeight="true" outlineLevel="0" collapsed="false">
      <c r="A14" s="8" t="s">
        <v>28</v>
      </c>
      <c r="B14" s="3" t="s">
        <v>86</v>
      </c>
    </row>
    <row r="15" customFormat="false" ht="27.75" hidden="false" customHeight="true" outlineLevel="0" collapsed="false">
      <c r="A15" s="8" t="s">
        <v>29</v>
      </c>
      <c r="B15" s="3" t="s">
        <v>87</v>
      </c>
    </row>
    <row r="16" customFormat="false" ht="27.75" hidden="false" customHeight="true" outlineLevel="0" collapsed="false">
      <c r="A16" s="8" t="s">
        <v>30</v>
      </c>
      <c r="B16" s="3" t="s">
        <v>88</v>
      </c>
    </row>
    <row r="17" customFormat="false" ht="27.75" hidden="false" customHeight="true" outlineLevel="0" collapsed="false">
      <c r="A17" s="8" t="s">
        <v>31</v>
      </c>
      <c r="B17" s="3" t="s">
        <v>89</v>
      </c>
    </row>
    <row r="19" customFormat="false" ht="15" hidden="false" customHeight="false" outlineLevel="0" collapsed="false">
      <c r="A19" s="7" t="s">
        <v>90</v>
      </c>
    </row>
    <row r="20" customFormat="false" ht="30" hidden="false" customHeight="true" outlineLevel="0" collapsed="false">
      <c r="A20" s="2" t="s">
        <v>1</v>
      </c>
      <c r="B20" s="2" t="s">
        <v>19</v>
      </c>
      <c r="C20" s="2" t="s">
        <v>20</v>
      </c>
      <c r="D20" s="2" t="s">
        <v>21</v>
      </c>
      <c r="E20" s="2" t="s">
        <v>22</v>
      </c>
      <c r="F20" s="2" t="s">
        <v>23</v>
      </c>
      <c r="G20" s="2" t="s">
        <v>24</v>
      </c>
      <c r="H20" s="2" t="s">
        <v>25</v>
      </c>
      <c r="I20" s="2" t="s">
        <v>26</v>
      </c>
      <c r="J20" s="2" t="s">
        <v>27</v>
      </c>
      <c r="K20" s="2" t="s">
        <v>28</v>
      </c>
      <c r="L20" s="2" t="s">
        <v>29</v>
      </c>
      <c r="M20" s="2" t="s">
        <v>30</v>
      </c>
      <c r="N20" s="2" t="s">
        <v>31</v>
      </c>
    </row>
    <row r="21" customFormat="false" ht="39.75" hidden="false" customHeight="true" outlineLevel="0" collapsed="false">
      <c r="A21" s="9" t="n">
        <v>12</v>
      </c>
      <c r="B21" s="9" t="s">
        <v>91</v>
      </c>
      <c r="C21" s="9" t="s">
        <v>92</v>
      </c>
      <c r="D21" s="9" t="s">
        <v>50</v>
      </c>
      <c r="E21" s="9" t="n">
        <v>1</v>
      </c>
      <c r="F21" s="9" t="n">
        <v>1</v>
      </c>
      <c r="G21" s="9" t="n">
        <v>500</v>
      </c>
      <c r="H21" s="9" t="s">
        <v>93</v>
      </c>
      <c r="I21" s="9" t="n">
        <v>500</v>
      </c>
      <c r="J21" s="9" t="s">
        <v>35</v>
      </c>
      <c r="K21" s="9" t="s">
        <v>36</v>
      </c>
      <c r="L21" s="9" t="s">
        <v>94</v>
      </c>
      <c r="M21" s="9" t="s">
        <v>37</v>
      </c>
      <c r="N21" s="9" t="s">
        <v>95</v>
      </c>
    </row>
    <row r="23" customFormat="false" ht="15" hidden="false" customHeight="false" outlineLevel="0" collapsed="false">
      <c r="A23" s="7" t="s">
        <v>96</v>
      </c>
    </row>
    <row r="24" customFormat="false" ht="15" hidden="false" customHeight="false" outlineLevel="0" collapsed="false">
      <c r="A24" s="10"/>
      <c r="B24" s="11" t="s">
        <v>97</v>
      </c>
    </row>
    <row r="25" customFormat="false" ht="15" hidden="false" customHeight="false" outlineLevel="0" collapsed="false">
      <c r="A25" s="12"/>
      <c r="B25" s="11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2026-08-03T08:12:50Z</dcterms:created>
  <dc:creator>openpyxl</dc:creator>
  <dc:description/>
  <dc:language>en-US</dc:language>
  <cp:lastModifiedBy/>
  <dcterms:modified xsi:type="dcterms:W3CDTF">2026-08-03T08:12:50Z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